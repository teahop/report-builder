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Drafts" sheetId="2" state="visible" r:id="rId4"/>
    <sheet name="Blocks" sheetId="3" state="visible" r:id="rId5"/>
    <sheet name="Tall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<sst xmlns="http://schemas.openxmlformats.org/spreadsheetml/2006/main" count="131" uniqueCount="84">
  <si>
    <t xml:space="preserve">Open-coding workbook — draft quality traces</t>
  </si>
  <si>
    <t xml:space="preserve">Full protocol: docs/engineering/Open-coding protocol — draft quality traces.md</t>
  </si>
  <si>
    <t xml:space="preserve">The one rule</t>
  </si>
  <si>
    <t xml:space="preserve">Describe what you see. Do not name what it is. Write the sentence that made you notice, not the category.</t>
  </si>
  <si>
    <t xml:space="preserve">You wrote the rubric, so you cannot unsee A1-A14. You are not asked to forget it — only to control what you type.</t>
  </si>
  <si>
    <t xml:space="preserve">Which cells you edit</t>
  </si>
  <si>
    <t xml:space="preserve">Only the three shaded columns on 'Drafts' and 'Blocks': YOUR NOTES, PASS/FAIL, YOUR LABEL.</t>
  </si>
  <si>
    <t xml:space="preserve">Everything else is generated by the export script. 'Tally' computes itself — do not type in it.</t>
  </si>
  <si>
    <t xml:space="preserve">What to write per row</t>
  </si>
  <si>
    <t xml:space="preserve">1. What is good — quote it. You need to know what a fix must not break.</t>
  </si>
  <si>
    <t xml:space="preserve">2. What failed — quote the span verbatim. No quote = an impression; write it anyway but say so.</t>
  </si>
  <si>
    <t xml:space="preserve">3. What surprised you — this is where new categories come from, and it is the highest-value thing here.</t>
  </si>
  <si>
    <t xml:space="preserve">PASS / FAIL</t>
  </si>
  <si>
    <t xml:space="preserve">One question: would Molly sign this without editing it? Any edit = fail. Not a 1-5 scale.</t>
  </si>
  <si>
    <t xml:space="preserve">Two passes</t>
  </si>
  <si>
    <t xml:space="preserve">Pass 1 — 'Drafts': read each whole section as Molly would receive it.</t>
  </si>
  <si>
    <t xml:space="preserve">Pass 2 — 'Blocks': read every block of the same label back to back. Catches what pass 1 cannot.</t>
  </si>
  <si>
    <t xml:space="preserve">Fatigue — two real effects, both with a fix</t>
  </si>
  <si>
    <t xml:space="preserve">Anchoring: 14 rows are the same input. Interleave — 3 fixture_001 rows, then one small fixture, repeat.</t>
  </si>
  <si>
    <t xml:space="preserve">Standard drift: your bar tightens as you go. After all 20, re-read rows 1-3 and re-code if you would now differ.</t>
  </si>
  <si>
    <t xml:space="preserve">Done when</t>
  </si>
  <si>
    <t xml:space="preserve">All 20 rows coded · every failure quotes a span or is marked unquotable · pass 2 done · rows 1-3 re-read · rubric never opened · at least one 'huh'.</t>
  </si>
  <si>
    <t xml:space="preserve">Format example</t>
  </si>
  <si>
    <t xml:space="preserve">Deliberately about something the rubric does not cover, so it shows shape without seeding a category.</t>
  </si>
  <si>
    <t xml:space="preserve">YOUR NOTES</t>
  </si>
  <si>
    <t xml:space="preserve">Good: dates render as "March 22, 2010" consistently. Failed: one block writes "19 months" and another "about 19 months" for the same milestone — quote: "talking at about 2 years". Surprised: the same fact appears in two blocks with different precision. Unsure whether Molly would care.</t>
  </si>
  <si>
    <t xml:space="preserve">PASS/FAIL</t>
  </si>
  <si>
    <t xml:space="preserve">fail</t>
  </si>
  <si>
    <t xml:space="preserve">YOUR LABEL</t>
  </si>
  <si>
    <t xml:space="preserve">same fact restated at different precision in two blocks</t>
  </si>
  <si>
    <t xml:space="preserve">#</t>
  </si>
  <si>
    <t xml:space="preserve">trace_id</t>
  </si>
  <si>
    <t xml:space="preserve">langfuse_url</t>
  </si>
  <si>
    <t xml:space="preserve">fixture</t>
  </si>
  <si>
    <t xml:space="preserve">run</t>
  </si>
  <si>
    <t xml:space="preserve">block_labels</t>
  </si>
  <si>
    <t xml:space="preserve">prose (read this)</t>
  </si>
  <si>
    <t xml:space="preserve">unanchored quotes</t>
  </si>
  <si>
    <t xml:space="preserve">(demo)</t>
  </si>
  <si>
    <t xml:space="preserve">fixture_001</t>
  </si>
  <si>
    <t xml:space="preserve">Pregnancy and Delivery | Developmental History | Behavioral Concerns | Trauma History | Educational History | Current Health | Student / Caregiver / Teacher Input</t>
  </si>
  <si>
    <t xml:space="preserve">**Pregnancy and Delivery:** Emma Rose Callahan was born on March 22, 2010. Her mother, Diane Callahan, reported that Emma was adopted at 19 months. Due to this adoption, information on Emma's birth is limited and includes exposure to trauma and alleged in utero exposure to methamphetamines.
**Developmental History:** According to the October 2024 IEP, Emma met all her developmental milestones on time except for walking at about 19 months and talking at about 2 years. However, the IEP also stated that Emma demonstrates academic weakness in math fluency, numerical operations, and written language. Conversely, her communication development is reported to be average and not a concern at this time. Her mother noted that Emma has significant deficits in executive functioning and adaptive skills as of December 2025.
**Behavioral Concerns:** Emma's behavioral history has included meltdowns occurring 2-5 times a week, characterized by inconsolable screaming and hitting her surroundings. The 2013 early childhood diagnostic assessment described her as having borderline clinical range for emotional reactivity and oppositional defiant problems. As of the latest information, Emma's behavior has been reported to be adaptive by her school on October 2, 2024, and does not impede her learning.
**Trauma History:** Emma has a complex history that includes early trauma, adoption, and multiple placements. According to the October 2024 IEP, she has been diagnosed with Reactive Attachment Disorder (RAD) and ADHD, reflecting her struggles with attention regulation, and emotional responses.
**Educational History:** Emma has had an Individualized Education Program (IEP) since May 29, 2019, with her most recent evaluation dated October 2, 2024. The IEP indicates her placement in general education with accommodations to meet her educational needs. In the past, she has shown difficulties succeeding in traditional school environments without intensive support.
**Current Health:** At the time of the latest evaluation, Emma has no known allergies according to her IEP from October 2024. However, she has been described as having seasonal allergies in a previous report from May 29, 2019. Emma is currently prescribed veterinary medications and is being fitted for a CPAP machine due to reported sleep difficulties. As of April 2025, her mother described her sleep as poor without medications but fine with them.
**Student / Caregiver / Teacher Input:** Emma's mother reported that she is aware of her learning challenges, stating, "I am okay with failure. I understand that it’s part of learning and I know I need to try". Teachers have remarked on her ability to cooperate during learning tasks and engage effectively when prompted. Emma's teacher noted that she shows lower energy levels but can engage more fully when encouraged. Overall, Emma exhibits a range of strengths and challenges, demonstrating resilience and a positive attitude toward her learning journey. ---</t>
  </si>
  <si>
    <t xml:space="preserve">fixture_005</t>
  </si>
  <si>
    <t xml:space="preserve">synthetic_missing_birth_infancy_case</t>
  </si>
  <si>
    <t xml:space="preserve">synthetic_health_conflict_case</t>
  </si>
  <si>
    <t xml:space="preserve">synthetic_dob_conflict_case</t>
  </si>
  <si>
    <t xml:space="preserve">Row 1 is real Variant A output from draft_ab_fixture001_prose.md, shown so you can judge readability. Rows 2-20 are populated by evals/export_for_coding.py.</t>
  </si>
  <si>
    <t xml:space="preserve">block_label</t>
  </si>
  <si>
    <t xml:space="preserve">block_prose</t>
  </si>
  <si>
    <t xml:space="preserve">fact_ids</t>
  </si>
  <si>
    <t xml:space="preserve">Pregnancy and Delivery</t>
  </si>
  <si>
    <t xml:space="preserve">Emma Rose Callahan was born on March 22, 2010. Her mother, Diane Callahan, reported that Emma was adopted at 19 months. Due to this adoption, information on Emma's birth is limited and includes exposure to trauma and alleged in utero exposure to methamphetamines.</t>
  </si>
  <si>
    <t xml:space="preserve">Developmental History</t>
  </si>
  <si>
    <t xml:space="preserve">According to the October 2024 IEP, Emma met all her developmental milestones on time except for walking at about 19 months and talking at about 2 years. However, the IEP also stated that Emma demonstrates academic weakness in math fluency, numerical operations, and written language. Conversely, her communication development is reported to be average and not a concern at this time. Her mother noted that Emma has significant deficits in executive functioning and adaptive skills as of December 2025.</t>
  </si>
  <si>
    <t xml:space="preserve">Behavioral Concerns</t>
  </si>
  <si>
    <t xml:space="preserve">Emma's behavioral history has included meltdowns occurring 2-5 times a week, characterized by inconsolable screaming and hitting her surroundings. The 2013 early childhood diagnostic assessment described her as having borderline clinical range for emotional reactivity and oppositional defiant problems. As of the latest information, Emma's behavior has been reported to be adaptive by her school on October 2, 2024, and does not impede her learning.</t>
  </si>
  <si>
    <t xml:space="preserve">Trauma History</t>
  </si>
  <si>
    <t xml:space="preserve">Emma has a complex history that includes early trauma, adoption, and multiple placements. According to the October 2024 IEP, she has been diagnosed with Reactive Attachment Disorder (RAD) and ADHD, reflecting her struggles with attention regulation, and emotional responses.</t>
  </si>
  <si>
    <t xml:space="preserve">Educational History</t>
  </si>
  <si>
    <t xml:space="preserve">Emma has had an Individualized Education Program (IEP) since May 29, 2019, with her most recent evaluation dated October 2, 2024. The IEP indicates her placement in general education with accommodations to meet her educational needs. In the past, she has shown difficulties succeeding in traditional school environments without intensive support.</t>
  </si>
  <si>
    <t xml:space="preserve">Current Health</t>
  </si>
  <si>
    <t xml:space="preserve">At the time of the latest evaluation, Emma has no known allergies according to her IEP from October 2024. However, she has been described as having seasonal allergies in a previous report from May 29, 2019. Emma is currently prescribed veterinary medications and is being fitted for a CPAP machine due to reported sleep difficulties. As of April 2025, her mother described her sleep as poor without medications but fine with them.</t>
  </si>
  <si>
    <t xml:space="preserve">Student / Caregiver / Teacher Input</t>
  </si>
  <si>
    <t xml:space="preserve">Emma's mother reported that she is aware of her learning challenges, stating, "I am okay with failure. I understand that it’s part of learning and I know I need to try". Teachers have remarked on her ability to cooperate during learning tasks and engage effectively when prompted. Emma's teacher noted that she shows lower energy levels but can engage more fully when encouraged. Overall, Emma exhibits a range of strengths and challenges, demonstrating resilience and a positive attitude toward her learning journey. ---</t>
  </si>
  <si>
    <t xml:space="preserve">Demo rows are the seven blocks of one real fixture_001 draft. Sort by block_label to read every 'Current Health' block back to back.</t>
  </si>
  <si>
    <t xml:space="preserve">Tally — computes itself, do not type here</t>
  </si>
  <si>
    <t xml:space="preserve">Headline</t>
  </si>
  <si>
    <t xml:space="preserve">Traces coded</t>
  </si>
  <si>
    <t xml:space="preserve">out of 20</t>
  </si>
  <si>
    <t xml:space="preserve">Pass</t>
  </si>
  <si>
    <t xml:space="preserve">Molly would sign without editing</t>
  </si>
  <si>
    <t xml:space="preserve">Fail</t>
  </si>
  <si>
    <t xml:space="preserve">any edit at all</t>
  </si>
  <si>
    <t xml:space="preserve">Pass rate</t>
  </si>
  <si>
    <t xml:space="preserve">THIS is the baseline number handoff 3 has to move</t>
  </si>
  <si>
    <t xml:space="preserve">By case - the cross-case read</t>
  </si>
  <si>
    <t xml:space="preserve">8 runs</t>
  </si>
  <si>
    <t xml:space="preserve">2 runs</t>
  </si>
  <si>
    <t xml:space="preserve">1 runs</t>
  </si>
  <si>
    <t xml:space="preserve">Structural vs stochastic</t>
  </si>
  <si>
    <t xml:space="preserve">A failure in every run of a case is STRUCTURAL — the prompt causes it. Prompt edits fix it.</t>
  </si>
  <si>
    <t xml:space="preserve">A failure in some runs is STOCHASTIC — the prompt permits it. Usually needs a validator, not a prompt edit.</t>
  </si>
  <si>
    <t xml:space="preserve">A failure in BOTH children is about the drafter. In only one, it is about that case's content — not a real category.</t>
  </si>
  <si>
    <t xml:space="preserve">That last line is why the sweep runs two cases instead of 14 runs of one.</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</si>
</sst>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0"/>
      <name val="Arial"/>
      <family val="0"/>
      <charset val="1"/>
    </font>
    <font>
      <b val="true"/>
      <sz val="11"/>
      <color rgb="FF1F3864"/>
      <name val="Arial"/>
      <family val="0"/>
      <charset val="1"/>
    </font>
    <font>
      <i val="true"/>
      <sz val="9"/>
      <color rgb="FF808080"/>
      <name val="Arial"/>
      <family val="0"/>
      <charset val="1"/>
    </font>
    <font>
      <b val="true"/>
      <sz val="9"/>
      <name val="Arial"/>
      <family val="0"/>
      <charset val="1"/>
    </font>
    <font>
      <sz val="9"/>
      <name val="Arial"/>
      <family val="0"/>
      <charset val="1"/>
    </font>
    <font>
      <b val="true"/>
      <sz val="10"/>
      <color rgb="FFFFFFFF"/>
      <name val="Arial"/>
      <family val="0"/>
      <charset val="1"/>
    </font>
    <font>
      <b val="true"/>
      <sz val="14"/>
      <color rgb="FF1F3864"/>
      <name val="Arial"/>
      <family val="0"/>
      <charset val="1"/>
    </font>
    <font>
      <b val="true"/>
      <sz val="10"/>
      <name val="Arial"/>
      <family val="0"/>
      <charset val="1"/>
    </font>
  </fonts>
  <fills count="6">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E8EEF7"/>
      </patternFill>
    </fill>
    <fill>
      <patternFill patternType="solid">
        <fgColor rgb="FFE8EE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5" fontId="12" fillId="5" borderId="1" xfId="0" applyFont="true" applyBorder="true" applyAlignment="true" applyProtection="false">
      <alignment horizontal="center" vertical="bottom" textRotation="0" wrapText="false" indent="0" shrinkToFit="false"/>
      <protection locked="true" hidden="false"/>
    </xf>
    <xf numFmtId="165" fontId="5" fillId="5"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4"/>
  </cols>
  <sheetData>
    <row r="2" customFormat="false" ht="18.55" hidden="false" customHeight="false" outlineLevel="0" collapsed="false">
      <c r="B2" s="1" t="s">
        <v>0</v>
      </c>
    </row>
    <row r="4" customFormat="false" ht="13.5" hidden="false" customHeight="true" outlineLevel="0" collapsed="false">
      <c r="C4" s="2" t="s">
        <v>1</v>
      </c>
    </row>
    <row r="6" customFormat="false" ht="15" hidden="false" customHeight="false" outlineLevel="0" collapsed="false">
      <c r="B6" s="3" t="s">
        <v>2</v>
      </c>
    </row>
    <row r="7" customFormat="false" ht="25.5" hidden="false" customHeight="true" outlineLevel="0" collapsed="false">
      <c r="C7" s="2" t="s">
        <v>3</v>
      </c>
    </row>
    <row r="8" customFormat="false" ht="25.5" hidden="false" customHeight="true" outlineLevel="0" collapsed="false">
      <c r="C8" s="2" t="s">
        <v>4</v>
      </c>
    </row>
    <row r="10" customFormat="false" ht="15" hidden="false" customHeight="false" outlineLevel="0" collapsed="false">
      <c r="B10" s="3" t="s">
        <v>5</v>
      </c>
    </row>
    <row r="11" customFormat="false" ht="13.5" hidden="false" customHeight="true" outlineLevel="0" collapsed="false">
      <c r="C11" s="2" t="s">
        <v>6</v>
      </c>
    </row>
    <row r="12" customFormat="false" ht="13.5" hidden="false" customHeight="true" outlineLevel="0" collapsed="false">
      <c r="C12" s="2" t="s">
        <v>7</v>
      </c>
    </row>
    <row r="14" customFormat="false" ht="15" hidden="false" customHeight="false" outlineLevel="0" collapsed="false">
      <c r="B14" s="3" t="s">
        <v>8</v>
      </c>
    </row>
    <row r="15" customFormat="false" ht="13.5" hidden="false" customHeight="true" outlineLevel="0" collapsed="false">
      <c r="C15" s="2" t="s">
        <v>9</v>
      </c>
    </row>
    <row r="16" customFormat="false" ht="13.5" hidden="false" customHeight="true" outlineLevel="0" collapsed="false">
      <c r="C16" s="2" t="s">
        <v>10</v>
      </c>
    </row>
    <row r="17" customFormat="false" ht="13.5" hidden="false" customHeight="true" outlineLevel="0" collapsed="false">
      <c r="C17" s="2" t="s">
        <v>11</v>
      </c>
    </row>
    <row r="19" customFormat="false" ht="15" hidden="false" customHeight="false" outlineLevel="0" collapsed="false">
      <c r="B19" s="3" t="s">
        <v>12</v>
      </c>
    </row>
    <row r="20" customFormat="false" ht="13.5" hidden="false" customHeight="true" outlineLevel="0" collapsed="false">
      <c r="C20" s="2" t="s">
        <v>13</v>
      </c>
    </row>
    <row r="22" customFormat="false" ht="15" hidden="false" customHeight="false" outlineLevel="0" collapsed="false">
      <c r="B22" s="3" t="s">
        <v>14</v>
      </c>
    </row>
    <row r="23" customFormat="false" ht="13.5" hidden="false" customHeight="true" outlineLevel="0" collapsed="false">
      <c r="C23" s="2" t="s">
        <v>15</v>
      </c>
    </row>
    <row r="24" customFormat="false" ht="13.5" hidden="false" customHeight="true" outlineLevel="0" collapsed="false">
      <c r="C24" s="2" t="s">
        <v>16</v>
      </c>
    </row>
    <row r="26" customFormat="false" ht="15" hidden="false" customHeight="false" outlineLevel="0" collapsed="false">
      <c r="B26" s="3" t="s">
        <v>17</v>
      </c>
    </row>
    <row r="27" customFormat="false" ht="13.5" hidden="false" customHeight="true" outlineLevel="0" collapsed="false">
      <c r="C27" s="2" t="s">
        <v>18</v>
      </c>
    </row>
    <row r="28" customFormat="false" ht="25.5" hidden="false" customHeight="true" outlineLevel="0" collapsed="false">
      <c r="C28" s="2" t="s">
        <v>19</v>
      </c>
    </row>
    <row r="30" customFormat="false" ht="15" hidden="false" customHeight="false" outlineLevel="0" collapsed="false">
      <c r="B30" s="3" t="s">
        <v>20</v>
      </c>
    </row>
    <row r="31" customFormat="false" ht="25.5" hidden="false" customHeight="true" outlineLevel="0" collapsed="false">
      <c r="C31" s="2" t="s">
        <v>21</v>
      </c>
    </row>
    <row r="33" customFormat="false" ht="15" hidden="false" customHeight="false" outlineLevel="0" collapsed="false">
      <c r="B33" s="3" t="s">
        <v>22</v>
      </c>
      <c r="C33" s="4" t="s">
        <v>23</v>
      </c>
    </row>
    <row r="34" customFormat="false" ht="45.75" hidden="false" customHeight="true" outlineLevel="0" collapsed="false">
      <c r="B34" s="5" t="s">
        <v>24</v>
      </c>
      <c r="C34" s="6" t="s">
        <v>25</v>
      </c>
    </row>
    <row r="35" customFormat="false" ht="13.5" hidden="false" customHeight="true" outlineLevel="0" collapsed="false">
      <c r="B35" s="5" t="s">
        <v>26</v>
      </c>
      <c r="C35" s="6" t="s">
        <v>27</v>
      </c>
    </row>
    <row r="36" customFormat="false" ht="13.5" hidden="false" customHeight="true" outlineLevel="0" collapsed="false">
      <c r="B36" s="5" t="s">
        <v>28</v>
      </c>
      <c r="C36"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3" min="2" style="0" width="16"/>
    <col collapsed="false" customWidth="true" hidden="false" outlineLevel="0" max="4" min="4" style="0" width="26"/>
    <col collapsed="false" customWidth="true" hidden="false" outlineLevel="0" max="5" min="5" style="0" width="6"/>
    <col collapsed="false" customWidth="true" hidden="false" outlineLevel="0" max="6" min="6" style="0" width="30"/>
    <col collapsed="false" customWidth="true" hidden="false" outlineLevel="0" max="7" min="7" style="0" width="95"/>
    <col collapsed="false" customWidth="true" hidden="false" outlineLevel="0" max="8" min="8" style="0" width="11"/>
    <col collapsed="false" customWidth="true" hidden="false" outlineLevel="0" max="9" min="9" style="0" width="60"/>
    <col collapsed="false" customWidth="true" hidden="false" outlineLevel="0" max="10" min="10" style="0" width="11"/>
    <col collapsed="false" customWidth="true" hidden="false" outlineLevel="0" max="11" min="11" style="0" width="34"/>
  </cols>
  <sheetData>
    <row r="1" customFormat="false" ht="30" hidden="false" customHeight="true" outlineLevel="0" collapsed="false">
      <c r="A1" s="7" t="s">
        <v>30</v>
      </c>
      <c r="B1" s="7" t="s">
        <v>31</v>
      </c>
      <c r="C1" s="7" t="s">
        <v>32</v>
      </c>
      <c r="D1" s="7" t="s">
        <v>33</v>
      </c>
      <c r="E1" s="7" t="s">
        <v>34</v>
      </c>
      <c r="F1" s="7" t="s">
        <v>35</v>
      </c>
      <c r="G1" s="7" t="s">
        <v>36</v>
      </c>
      <c r="H1" s="7" t="s">
        <v>37</v>
      </c>
      <c r="I1" s="7" t="s">
        <v>24</v>
      </c>
      <c r="J1" s="7" t="s">
        <v>26</v>
      </c>
      <c r="K1" s="7" t="s">
        <v>28</v>
      </c>
    </row>
    <row r="2" customFormat="false" ht="210" hidden="false" customHeight="true" outlineLevel="0" collapsed="false">
      <c r="A2" s="8" t="n">
        <v>1</v>
      </c>
      <c r="B2" s="9" t="s">
        <v>38</v>
      </c>
      <c r="C2" s="9" t="s">
        <v>38</v>
      </c>
      <c r="D2" s="9" t="s">
        <v>39</v>
      </c>
      <c r="E2" s="8" t="n">
        <v>1</v>
      </c>
      <c r="F2" s="9" t="s">
        <v>40</v>
      </c>
      <c r="G2" s="9" t="s">
        <v>41</v>
      </c>
      <c r="H2" s="8" t="n">
        <v>2</v>
      </c>
      <c r="I2" s="6"/>
      <c r="J2" s="6"/>
      <c r="K2" s="6"/>
    </row>
    <row r="3" customFormat="false" ht="63.75" hidden="false" customHeight="true" outlineLevel="0" collapsed="false">
      <c r="A3" s="10" t="n">
        <v>2</v>
      </c>
      <c r="B3" s="11"/>
      <c r="C3" s="11"/>
      <c r="D3" s="11" t="s">
        <v>39</v>
      </c>
      <c r="E3" s="10" t="n">
        <v>2</v>
      </c>
      <c r="F3" s="11"/>
      <c r="G3" s="11"/>
      <c r="H3" s="10"/>
      <c r="I3" s="6"/>
      <c r="J3" s="6"/>
      <c r="K3" s="6"/>
    </row>
    <row r="4" customFormat="false" ht="63.75" hidden="false" customHeight="true" outlineLevel="0" collapsed="false">
      <c r="A4" s="8" t="n">
        <v>3</v>
      </c>
      <c r="B4" s="9"/>
      <c r="C4" s="9"/>
      <c r="D4" s="9" t="s">
        <v>39</v>
      </c>
      <c r="E4" s="8" t="n">
        <v>3</v>
      </c>
      <c r="F4" s="9"/>
      <c r="G4" s="9"/>
      <c r="H4" s="8"/>
      <c r="I4" s="6"/>
      <c r="J4" s="6"/>
      <c r="K4" s="6"/>
    </row>
    <row r="5" customFormat="false" ht="63.75" hidden="false" customHeight="true" outlineLevel="0" collapsed="false">
      <c r="A5" s="10" t="n">
        <v>4</v>
      </c>
      <c r="B5" s="11"/>
      <c r="C5" s="11"/>
      <c r="D5" s="11" t="s">
        <v>39</v>
      </c>
      <c r="E5" s="10" t="n">
        <v>4</v>
      </c>
      <c r="F5" s="11"/>
      <c r="G5" s="11"/>
      <c r="H5" s="10"/>
      <c r="I5" s="6"/>
      <c r="J5" s="6"/>
      <c r="K5" s="6"/>
    </row>
    <row r="6" customFormat="false" ht="63.75" hidden="false" customHeight="true" outlineLevel="0" collapsed="false">
      <c r="A6" s="8" t="n">
        <v>5</v>
      </c>
      <c r="B6" s="9"/>
      <c r="C6" s="9"/>
      <c r="D6" s="9" t="s">
        <v>39</v>
      </c>
      <c r="E6" s="8" t="n">
        <v>5</v>
      </c>
      <c r="F6" s="9"/>
      <c r="G6" s="9"/>
      <c r="H6" s="8"/>
      <c r="I6" s="6"/>
      <c r="J6" s="6"/>
      <c r="K6" s="6"/>
    </row>
    <row r="7" customFormat="false" ht="63.75" hidden="false" customHeight="true" outlineLevel="0" collapsed="false">
      <c r="A7" s="10" t="n">
        <v>6</v>
      </c>
      <c r="B7" s="11"/>
      <c r="C7" s="11"/>
      <c r="D7" s="11" t="s">
        <v>39</v>
      </c>
      <c r="E7" s="10" t="n">
        <v>6</v>
      </c>
      <c r="F7" s="11"/>
      <c r="G7" s="11"/>
      <c r="H7" s="10"/>
      <c r="I7" s="6"/>
      <c r="J7" s="6"/>
      <c r="K7" s="6"/>
    </row>
    <row r="8" customFormat="false" ht="63.75" hidden="false" customHeight="true" outlineLevel="0" collapsed="false">
      <c r="A8" s="8" t="n">
        <v>7</v>
      </c>
      <c r="B8" s="9"/>
      <c r="C8" s="9"/>
      <c r="D8" s="9" t="s">
        <v>39</v>
      </c>
      <c r="E8" s="8" t="n">
        <v>7</v>
      </c>
      <c r="F8" s="9"/>
      <c r="G8" s="9"/>
      <c r="H8" s="8"/>
      <c r="I8" s="6"/>
      <c r="J8" s="6"/>
      <c r="K8" s="6"/>
    </row>
    <row r="9" customFormat="false" ht="63.75" hidden="false" customHeight="true" outlineLevel="0" collapsed="false">
      <c r="A9" s="10" t="n">
        <v>8</v>
      </c>
      <c r="B9" s="11"/>
      <c r="C9" s="11"/>
      <c r="D9" s="11" t="s">
        <v>39</v>
      </c>
      <c r="E9" s="10" t="n">
        <v>8</v>
      </c>
      <c r="F9" s="11"/>
      <c r="G9" s="11"/>
      <c r="H9" s="10"/>
      <c r="I9" s="6"/>
      <c r="J9" s="6"/>
      <c r="K9" s="6"/>
    </row>
    <row r="10" customFormat="false" ht="63.75" hidden="false" customHeight="true" outlineLevel="0" collapsed="false">
      <c r="A10" s="8" t="n">
        <v>9</v>
      </c>
      <c r="B10" s="9"/>
      <c r="C10" s="9"/>
      <c r="D10" s="9" t="s">
        <v>42</v>
      </c>
      <c r="E10" s="8" t="n">
        <v>1</v>
      </c>
      <c r="F10" s="9"/>
      <c r="G10" s="9"/>
      <c r="H10" s="8"/>
      <c r="I10" s="6"/>
      <c r="J10" s="6"/>
      <c r="K10" s="6"/>
    </row>
    <row r="11" customFormat="false" ht="63.75" hidden="false" customHeight="true" outlineLevel="0" collapsed="false">
      <c r="A11" s="10" t="n">
        <v>10</v>
      </c>
      <c r="B11" s="11"/>
      <c r="C11" s="11"/>
      <c r="D11" s="11" t="s">
        <v>42</v>
      </c>
      <c r="E11" s="10" t="n">
        <v>2</v>
      </c>
      <c r="F11" s="11"/>
      <c r="G11" s="11"/>
      <c r="H11" s="10"/>
      <c r="I11" s="6"/>
      <c r="J11" s="6"/>
      <c r="K11" s="6"/>
    </row>
    <row r="12" customFormat="false" ht="63.75" hidden="false" customHeight="true" outlineLevel="0" collapsed="false">
      <c r="A12" s="8" t="n">
        <v>11</v>
      </c>
      <c r="B12" s="9"/>
      <c r="C12" s="9"/>
      <c r="D12" s="9" t="s">
        <v>42</v>
      </c>
      <c r="E12" s="8" t="n">
        <v>3</v>
      </c>
      <c r="F12" s="9"/>
      <c r="G12" s="9"/>
      <c r="H12" s="8"/>
      <c r="I12" s="6"/>
      <c r="J12" s="6"/>
      <c r="K12" s="6"/>
    </row>
    <row r="13" customFormat="false" ht="63.75" hidden="false" customHeight="true" outlineLevel="0" collapsed="false">
      <c r="A13" s="10" t="n">
        <v>12</v>
      </c>
      <c r="B13" s="11"/>
      <c r="C13" s="11"/>
      <c r="D13" s="11" t="s">
        <v>42</v>
      </c>
      <c r="E13" s="10" t="n">
        <v>4</v>
      </c>
      <c r="F13" s="11"/>
      <c r="G13" s="11"/>
      <c r="H13" s="10"/>
      <c r="I13" s="6"/>
      <c r="J13" s="6"/>
      <c r="K13" s="6"/>
    </row>
    <row r="14" customFormat="false" ht="63.75" hidden="false" customHeight="true" outlineLevel="0" collapsed="false">
      <c r="A14" s="8" t="n">
        <v>13</v>
      </c>
      <c r="B14" s="9"/>
      <c r="C14" s="9"/>
      <c r="D14" s="9" t="s">
        <v>42</v>
      </c>
      <c r="E14" s="8" t="n">
        <v>5</v>
      </c>
      <c r="F14" s="9"/>
      <c r="G14" s="9"/>
      <c r="H14" s="8"/>
      <c r="I14" s="6"/>
      <c r="J14" s="6"/>
      <c r="K14" s="6"/>
    </row>
    <row r="15" customFormat="false" ht="63.75" hidden="false" customHeight="true" outlineLevel="0" collapsed="false">
      <c r="A15" s="10" t="n">
        <v>14</v>
      </c>
      <c r="B15" s="11"/>
      <c r="C15" s="11"/>
      <c r="D15" s="11" t="s">
        <v>42</v>
      </c>
      <c r="E15" s="10" t="n">
        <v>6</v>
      </c>
      <c r="F15" s="11"/>
      <c r="G15" s="11"/>
      <c r="H15" s="10"/>
      <c r="I15" s="6"/>
      <c r="J15" s="6"/>
      <c r="K15" s="6"/>
    </row>
    <row r="16" customFormat="false" ht="63.75" hidden="false" customHeight="true" outlineLevel="0" collapsed="false">
      <c r="A16" s="8" t="n">
        <v>15</v>
      </c>
      <c r="B16" s="9"/>
      <c r="C16" s="9"/>
      <c r="D16" s="9" t="s">
        <v>42</v>
      </c>
      <c r="E16" s="8" t="n">
        <v>7</v>
      </c>
      <c r="F16" s="9"/>
      <c r="G16" s="9"/>
      <c r="H16" s="8"/>
      <c r="I16" s="6"/>
      <c r="J16" s="6"/>
      <c r="K16" s="6"/>
    </row>
    <row r="17" customFormat="false" ht="63.75" hidden="false" customHeight="true" outlineLevel="0" collapsed="false">
      <c r="A17" s="10" t="n">
        <v>16</v>
      </c>
      <c r="B17" s="11"/>
      <c r="C17" s="11"/>
      <c r="D17" s="11" t="s">
        <v>42</v>
      </c>
      <c r="E17" s="10" t="n">
        <v>8</v>
      </c>
      <c r="F17" s="11"/>
      <c r="G17" s="11"/>
      <c r="H17" s="10"/>
      <c r="I17" s="6"/>
      <c r="J17" s="6"/>
      <c r="K17" s="6"/>
    </row>
    <row r="18" customFormat="false" ht="63.75" hidden="false" customHeight="true" outlineLevel="0" collapsed="false">
      <c r="A18" s="8" t="n">
        <v>17</v>
      </c>
      <c r="B18" s="9"/>
      <c r="C18" s="9"/>
      <c r="D18" s="9" t="s">
        <v>43</v>
      </c>
      <c r="E18" s="8" t="n">
        <v>1</v>
      </c>
      <c r="F18" s="9"/>
      <c r="G18" s="9"/>
      <c r="H18" s="8"/>
      <c r="I18" s="6"/>
      <c r="J18" s="6"/>
      <c r="K18" s="6"/>
    </row>
    <row r="19" customFormat="false" ht="63.75" hidden="false" customHeight="true" outlineLevel="0" collapsed="false">
      <c r="A19" s="10" t="n">
        <v>18</v>
      </c>
      <c r="B19" s="11"/>
      <c r="C19" s="11"/>
      <c r="D19" s="11" t="s">
        <v>43</v>
      </c>
      <c r="E19" s="10" t="n">
        <v>2</v>
      </c>
      <c r="F19" s="11"/>
      <c r="G19" s="11"/>
      <c r="H19" s="10"/>
      <c r="I19" s="6"/>
      <c r="J19" s="6"/>
      <c r="K19" s="6"/>
    </row>
    <row r="20" customFormat="false" ht="63.75" hidden="false" customHeight="true" outlineLevel="0" collapsed="false">
      <c r="A20" s="8" t="n">
        <v>19</v>
      </c>
      <c r="B20" s="9"/>
      <c r="C20" s="9"/>
      <c r="D20" s="9" t="s">
        <v>44</v>
      </c>
      <c r="E20" s="8" t="n">
        <v>1</v>
      </c>
      <c r="F20" s="9"/>
      <c r="G20" s="9"/>
      <c r="H20" s="8"/>
      <c r="I20" s="6"/>
      <c r="J20" s="6"/>
      <c r="K20" s="6"/>
    </row>
    <row r="21" customFormat="false" ht="63.75" hidden="false" customHeight="true" outlineLevel="0" collapsed="false">
      <c r="A21" s="10" t="n">
        <v>20</v>
      </c>
      <c r="B21" s="11"/>
      <c r="C21" s="11"/>
      <c r="D21" s="11" t="s">
        <v>45</v>
      </c>
      <c r="E21" s="10" t="n">
        <v>1</v>
      </c>
      <c r="F21" s="11"/>
      <c r="G21" s="11"/>
      <c r="H21" s="10"/>
      <c r="I21" s="6"/>
      <c r="J21" s="6"/>
      <c r="K21" s="6"/>
    </row>
    <row r="23" customFormat="false" ht="15" hidden="false" customHeight="false" outlineLevel="0" collapsed="false">
      <c r="G23" s="4" t="s">
        <v>46</v>
      </c>
    </row>
  </sheetData>
  <dataValidations count="1">
    <dataValidation allowBlank="true" errorStyle="stop" operator="between" prompt="Would Molly sign this without editing it?" promptTitle="PASS / FAIL" showDropDown="false" showErrorMessage="false" showInputMessage="false" sqref="J2:J21"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4" min="4" style="0" width="6"/>
    <col collapsed="false" customWidth="true" hidden="false" outlineLevel="0" max="5" min="5" style="0" width="26"/>
    <col collapsed="false" customWidth="true" hidden="false" outlineLevel="0" max="6" min="6" style="0" width="100"/>
    <col collapsed="false" customWidth="true" hidden="false" outlineLevel="0" max="7" min="7" style="0" width="9"/>
    <col collapsed="false" customWidth="true" hidden="false" outlineLevel="0" max="8" min="8" style="0" width="55"/>
    <col collapsed="false" customWidth="true" hidden="false" outlineLevel="0" max="9" min="9" style="0" width="11"/>
    <col collapsed="false" customWidth="true" hidden="false" outlineLevel="0" max="10" min="10" style="0" width="32"/>
  </cols>
  <sheetData>
    <row r="1" customFormat="false" ht="30" hidden="false" customHeight="true" outlineLevel="0" collapsed="false">
      <c r="A1" s="7" t="s">
        <v>30</v>
      </c>
      <c r="B1" s="7" t="s">
        <v>31</v>
      </c>
      <c r="C1" s="7" t="s">
        <v>33</v>
      </c>
      <c r="D1" s="7" t="s">
        <v>34</v>
      </c>
      <c r="E1" s="7" t="s">
        <v>47</v>
      </c>
      <c r="F1" s="7" t="s">
        <v>48</v>
      </c>
      <c r="G1" s="7" t="s">
        <v>49</v>
      </c>
      <c r="H1" s="7" t="s">
        <v>24</v>
      </c>
      <c r="I1" s="7" t="s">
        <v>26</v>
      </c>
      <c r="J1" s="7" t="s">
        <v>28</v>
      </c>
    </row>
    <row r="2" customFormat="false" ht="55.5" hidden="false" customHeight="true" outlineLevel="0" collapsed="false">
      <c r="A2" s="9" t="n">
        <v>1</v>
      </c>
      <c r="B2" s="9" t="s">
        <v>38</v>
      </c>
      <c r="C2" s="9" t="s">
        <v>39</v>
      </c>
      <c r="D2" s="9" t="n">
        <v>1</v>
      </c>
      <c r="E2" s="9" t="s">
        <v>50</v>
      </c>
      <c r="F2" s="9" t="s">
        <v>51</v>
      </c>
      <c r="G2" s="9"/>
      <c r="H2" s="6"/>
      <c r="I2" s="6"/>
      <c r="J2" s="6"/>
    </row>
    <row r="3" customFormat="false" ht="55.5" hidden="false" customHeight="true" outlineLevel="0" collapsed="false">
      <c r="A3" s="11" t="n">
        <v>2</v>
      </c>
      <c r="B3" s="11" t="s">
        <v>38</v>
      </c>
      <c r="C3" s="11" t="s">
        <v>39</v>
      </c>
      <c r="D3" s="11" t="n">
        <v>1</v>
      </c>
      <c r="E3" s="11" t="s">
        <v>52</v>
      </c>
      <c r="F3" s="11" t="s">
        <v>53</v>
      </c>
      <c r="G3" s="11"/>
      <c r="H3" s="6"/>
      <c r="I3" s="6"/>
      <c r="J3" s="6"/>
    </row>
    <row r="4" customFormat="false" ht="55.5" hidden="false" customHeight="true" outlineLevel="0" collapsed="false">
      <c r="A4" s="9" t="n">
        <v>3</v>
      </c>
      <c r="B4" s="9" t="s">
        <v>38</v>
      </c>
      <c r="C4" s="9" t="s">
        <v>39</v>
      </c>
      <c r="D4" s="9" t="n">
        <v>1</v>
      </c>
      <c r="E4" s="9" t="s">
        <v>54</v>
      </c>
      <c r="F4" s="9" t="s">
        <v>55</v>
      </c>
      <c r="G4" s="9"/>
      <c r="H4" s="6"/>
      <c r="I4" s="6"/>
      <c r="J4" s="6"/>
    </row>
    <row r="5" customFormat="false" ht="55.5" hidden="false" customHeight="true" outlineLevel="0" collapsed="false">
      <c r="A5" s="11" t="n">
        <v>4</v>
      </c>
      <c r="B5" s="11" t="s">
        <v>38</v>
      </c>
      <c r="C5" s="11" t="s">
        <v>39</v>
      </c>
      <c r="D5" s="11" t="n">
        <v>1</v>
      </c>
      <c r="E5" s="11" t="s">
        <v>56</v>
      </c>
      <c r="F5" s="11" t="s">
        <v>57</v>
      </c>
      <c r="G5" s="11"/>
      <c r="H5" s="6"/>
      <c r="I5" s="6"/>
      <c r="J5" s="6"/>
    </row>
    <row r="6" customFormat="false" ht="55.5" hidden="false" customHeight="true" outlineLevel="0" collapsed="false">
      <c r="A6" s="9" t="n">
        <v>5</v>
      </c>
      <c r="B6" s="9" t="s">
        <v>38</v>
      </c>
      <c r="C6" s="9" t="s">
        <v>39</v>
      </c>
      <c r="D6" s="9" t="n">
        <v>1</v>
      </c>
      <c r="E6" s="9" t="s">
        <v>58</v>
      </c>
      <c r="F6" s="9" t="s">
        <v>59</v>
      </c>
      <c r="G6" s="9"/>
      <c r="H6" s="6"/>
      <c r="I6" s="6"/>
      <c r="J6" s="6"/>
    </row>
    <row r="7" customFormat="false" ht="55.5" hidden="false" customHeight="true" outlineLevel="0" collapsed="false">
      <c r="A7" s="11" t="n">
        <v>6</v>
      </c>
      <c r="B7" s="11" t="s">
        <v>38</v>
      </c>
      <c r="C7" s="11" t="s">
        <v>39</v>
      </c>
      <c r="D7" s="11" t="n">
        <v>1</v>
      </c>
      <c r="E7" s="11" t="s">
        <v>60</v>
      </c>
      <c r="F7" s="11" t="s">
        <v>61</v>
      </c>
      <c r="G7" s="11"/>
      <c r="H7" s="6"/>
      <c r="I7" s="6"/>
      <c r="J7" s="6"/>
    </row>
    <row r="8" customFormat="false" ht="55.5" hidden="false" customHeight="true" outlineLevel="0" collapsed="false">
      <c r="A8" s="9" t="n">
        <v>7</v>
      </c>
      <c r="B8" s="9" t="s">
        <v>38</v>
      </c>
      <c r="C8" s="9" t="s">
        <v>39</v>
      </c>
      <c r="D8" s="9" t="n">
        <v>1</v>
      </c>
      <c r="E8" s="9" t="s">
        <v>62</v>
      </c>
      <c r="F8" s="9" t="s">
        <v>63</v>
      </c>
      <c r="G8" s="9"/>
      <c r="H8" s="6"/>
      <c r="I8" s="6"/>
      <c r="J8" s="6"/>
    </row>
    <row r="10" customFormat="false" ht="15" hidden="false" customHeight="false" outlineLevel="0" collapsed="false">
      <c r="F10" s="4" t="s">
        <v>64</v>
      </c>
    </row>
  </sheetData>
  <dataValidations count="1">
    <dataValidation allowBlank="true" errorStyle="stop" operator="between" showDropDown="false" showErrorMessage="false" showInputMessage="false" sqref="I2:I400"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4"/>
    <col collapsed="false" customWidth="true" hidden="false" outlineLevel="0" max="4" min="4" style="0" width="60"/>
  </cols>
  <sheetData>
    <row r="2" customFormat="false" ht="17.35" hidden="false" customHeight="false" outlineLevel="0" collapsed="false">
      <c r="B2" s="12" t="s">
        <v>65</v>
      </c>
    </row>
    <row r="4" customFormat="false" ht="15" hidden="false" customHeight="false" outlineLevel="0" collapsed="false">
      <c r="B4" s="3" t="s">
        <v>66</v>
      </c>
    </row>
    <row r="5" customFormat="false" ht="15" hidden="false" customHeight="false" outlineLevel="0" collapsed="false">
      <c r="B5" s="13" t="s">
        <v>67</v>
      </c>
      <c r="C5" s="14" t="n">
        <f aca="false">COUNTA(Drafts!J2:J21)</f>
        <v>0</v>
      </c>
      <c r="D5" s="4" t="s">
        <v>68</v>
      </c>
    </row>
    <row r="6" customFormat="false" ht="15" hidden="false" customHeight="false" outlineLevel="0" collapsed="false">
      <c r="B6" s="13" t="s">
        <v>69</v>
      </c>
      <c r="C6" s="14" t="n">
        <f aca="false">COUNTIF(Drafts!J2:J21,"pass")</f>
        <v>0</v>
      </c>
      <c r="D6" s="4" t="s">
        <v>70</v>
      </c>
    </row>
    <row r="7" customFormat="false" ht="15" hidden="false" customHeight="false" outlineLevel="0" collapsed="false">
      <c r="B7" s="13" t="s">
        <v>71</v>
      </c>
      <c r="C7" s="14" t="n">
        <f aca="false">COUNTIF(Drafts!J2:J21,"fail")</f>
        <v>0</v>
      </c>
      <c r="D7" s="4" t="s">
        <v>72</v>
      </c>
    </row>
    <row r="8" customFormat="false" ht="15" hidden="false" customHeight="false" outlineLevel="0" collapsed="false">
      <c r="B8" s="13" t="s">
        <v>73</v>
      </c>
      <c r="C8" s="15" t="str">
        <f aca="false">IFERROR(COUNTIF(Drafts!J2:J21,"pass")/COUNTA(Drafts!J2:J21),"")</f>
        <v/>
      </c>
      <c r="D8" s="4" t="s">
        <v>74</v>
      </c>
    </row>
    <row r="10" customFormat="false" ht="15" hidden="false" customHeight="false" outlineLevel="0" collapsed="false">
      <c r="B10" s="3" t="s">
        <v>75</v>
      </c>
    </row>
    <row r="11" customFormat="false" ht="15" hidden="false" customHeight="false" outlineLevel="0" collapsed="false">
      <c r="B11" s="13" t="s">
        <v>39</v>
      </c>
      <c r="C11" s="16" t="str">
        <f aca="false">IFERROR(COUNTIFS(Drafts!D2:D21,"fixture_001",Drafts!J2:J21,"pass")/COUNTIFS(Drafts!D2:D21,"fixture_001",Drafts!J2:J21,"&lt;&gt;"),"")</f>
        <v/>
      </c>
      <c r="D11" s="4" t="s">
        <v>76</v>
      </c>
    </row>
    <row r="12" customFormat="false" ht="15" hidden="false" customHeight="false" outlineLevel="0" collapsed="false">
      <c r="B12" s="13" t="s">
        <v>42</v>
      </c>
      <c r="C12" s="16" t="str">
        <f aca="false">IFERROR(COUNTIFS(Drafts!D2:D21,"fixture_005",Drafts!J2:J21,"pass")/COUNTIFS(Drafts!D2:D21,"fixture_005",Drafts!J2:J21,"&lt;&gt;"),"")</f>
        <v/>
      </c>
      <c r="D12" s="4" t="s">
        <v>76</v>
      </c>
    </row>
    <row r="13" customFormat="false" ht="15" hidden="false" customHeight="false" outlineLevel="0" collapsed="false">
      <c r="B13" s="13" t="s">
        <v>43</v>
      </c>
      <c r="C13" s="16" t="str">
        <f aca="false">IFERROR(COUNTIFS(Drafts!D2:D21,"synthetic_missing_birth_infancy_case",Drafts!J2:J21,"pass")/COUNTIFS(Drafts!D2:D21,"synthetic_missing_birth_infancy_case",Drafts!J2:J21,"&lt;&gt;"),"")</f>
        <v/>
      </c>
      <c r="D13" s="4" t="s">
        <v>77</v>
      </c>
    </row>
    <row r="14" customFormat="false" ht="15" hidden="false" customHeight="false" outlineLevel="0" collapsed="false">
      <c r="B14" s="13" t="s">
        <v>44</v>
      </c>
      <c r="C14" s="16" t="str">
        <f aca="false">IFERROR(COUNTIFS(Drafts!D2:D21,"synthetic_health_conflict_case",Drafts!J2:J21,"pass")/COUNTIFS(Drafts!D2:D21,"synthetic_health_conflict_case",Drafts!J2:J21,"&lt;&gt;"),"")</f>
        <v/>
      </c>
      <c r="D14" s="4" t="s">
        <v>78</v>
      </c>
    </row>
    <row r="15" customFormat="false" ht="15" hidden="false" customHeight="false" outlineLevel="0" collapsed="false">
      <c r="B15" s="13" t="s">
        <v>45</v>
      </c>
      <c r="C15" s="16" t="str">
        <f aca="false">IFERROR(COUNTIFS(Drafts!D2:D21,"synthetic_dob_conflict_case",Drafts!J2:J21,"pass")/COUNTIFS(Drafts!D2:D21,"synthetic_dob_conflict_case",Drafts!J2:J21,"&lt;&gt;"),"")</f>
        <v/>
      </c>
      <c r="D15" s="4" t="s">
        <v>78</v>
      </c>
    </row>
    <row r="17" customFormat="false" ht="15" hidden="false" customHeight="false" outlineLevel="0" collapsed="false">
      <c r="B17" s="3" t="s">
        <v>79</v>
      </c>
    </row>
    <row r="18" customFormat="false" ht="15" hidden="false" customHeight="false" outlineLevel="0" collapsed="false">
      <c r="B18" s="17" t="s">
        <v>80</v>
      </c>
      <c r="C18" s="17"/>
      <c r="D18" s="17"/>
    </row>
    <row r="19" customFormat="false" ht="15" hidden="false" customHeight="false" outlineLevel="0" collapsed="false">
      <c r="B19" s="17" t="s">
        <v>81</v>
      </c>
      <c r="C19" s="17"/>
      <c r="D19" s="17"/>
    </row>
    <row r="20" customFormat="false" ht="15" hidden="false" customHeight="false" outlineLevel="0" collapsed="false">
      <c r="B20" s="17" t="s">
        <v>82</v>
      </c>
      <c r="C20" s="17"/>
      <c r="D20" s="17"/>
    </row>
    <row r="21" customFormat="false" ht="15" hidden="false" customHeight="false" outlineLevel="0" collapsed="false">
      <c r="B21" s="17" t="s">
        <v>83</v>
      </c>
      <c r="C21" s="17"/>
      <c r="D21" s="17"/>
    </row>
  </sheetData>
  <mergeCells count="4">
    <mergeCell ref="B18:D18"/>
    <mergeCell ref="B19:D19"/>
    <mergeCell ref="B20:D20"/>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2026-08-07T18:12:37Z</dcterms:created>
  <dc:creator>openpyxl</dc:creator>
  <dc:description/>
  <dc:language>en-US</dc:language>
  <cp:lastModifiedBy/>
  <dcterms:modified xsi:type="dcterms:W3CDTF">2026-08-07T18:12:37Z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